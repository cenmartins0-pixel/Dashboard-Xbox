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E2ECCDAD-54F8-40D6-B298-4142026CE058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3" l="1"/>
  <c r="E24" i="3"/>
</calcChain>
</file>

<file path=xl/sharedStrings.xml><?xml version="1.0" encoding="utf-8"?>
<sst xmlns="http://schemas.openxmlformats.org/spreadsheetml/2006/main" count="2017" uniqueCount="320">
  <si>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</si>
  <si>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</si>
  <si>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</si>
  <si>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</si>
  <si>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</si>
  <si>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</si>
  <si>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</si>
  <si>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</si>
  <si>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</si>
  <si>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</si>
  <si>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</si>
  <si>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</si>
  <si>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</si>
  <si>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</si>
  <si>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</si>
  <si>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</si>
  <si>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</si>
  <si>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</si>
  <si>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</si>
  <si>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</si>
  <si>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</si>
  <si>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</si>
  <si>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</si>
  <si>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</si>
  <si>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</si>
  <si>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</si>
  <si>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</si>
  <si>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</si>
  <si>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</si>
  <si>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</si>
  <si>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</si>
  <si>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</si>
  <si>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</si>
  <si>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</si>
  <si>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</si>
  <si>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</si>
  <si>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</si>
  <si>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</si>
  <si>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</si>
  <si>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</si>
  <si>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</si>
  <si>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</si>
  <si>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</si>
  <si>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</si>
  <si>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</si>
  <si>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</si>
  <si>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</si>
  <si>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</si>
  <si>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</si>
  <si>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</si>
  <si>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</si>
  <si>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</si>
  <si>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</si>
  <si>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</si>
  <si>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</si>
  <si>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</si>
  <si>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</si>
  <si>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</si>
  <si>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</si>
  <si>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</si>
  <si>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</si>
  <si>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</si>
  <si>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</si>
  <si>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</si>
  <si>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</si>
  <si>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</si>
  <si>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</si>
  <si>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</si>
  <si>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</si>
  <si>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</si>
  <si>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</si>
  <si>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</si>
  <si>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</si>
  <si>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</si>
  <si>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</si>
  <si>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</si>
  <si>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</si>
  <si>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</si>
  <si>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</si>
  <si>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</si>
  <si>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</si>
  <si>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</si>
  <si>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</si>
  <si>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</si>
  <si>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</si>
  <si>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</si>
  <si>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</si>
  <si>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</si>
  <si>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</si>
  <si>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</si>
  <si>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</si>
  <si>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</si>
  <si>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</si>
  <si>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</si>
  <si>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</si>
  <si>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</si>
  <si>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</si>
  <si>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</si>
  <si>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</si>
  <si>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</si>
  <si>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</si>
  <si>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</si>
  <si>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</si>
  <si>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</si>
  <si>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</si>
  <si>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</si>
  <si>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</si>
  <si>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</si>
  <si>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</si>
  <si>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</si>
  <si>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</si>
  <si>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</si>
  <si>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</si>
  <si>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</si>
  <si>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</si>
  <si>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</si>
  <si>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</si>
  <si>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</si>
  <si>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</si>
  <si>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</si>
  <si>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</si>
  <si>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</si>
  <si>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</si>
  <si>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</si>
  <si>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</si>
  <si>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</si>
  <si>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</si>
  <si>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</si>
  <si>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</si>
  <si>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</si>
  <si>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</si>
  <si>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</si>
  <si>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</si>
  <si>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</si>
  <si>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</si>
  <si>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</si>
  <si>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</si>
  <si>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</si>
  <si>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</si>
  <si>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</si>
  <si>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</si>
  <si>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</si>
  <si>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</si>
  <si>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</si>
  <si>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</si>
  <si>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</si>
  <si>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</si>
  <si>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</si>
  <si>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</si>
  <si>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</si>
  <si>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</si>
  <si>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</si>
  <si>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</si>
  <si>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</si>
  <si>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</si>
  <si>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</si>
  <si>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</si>
  <si>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</si>
  <si>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</si>
  <si>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</si>
  <si>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</si>
  <si>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</si>
  <si>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</si>
  <si>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</si>
  <si>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</si>
  <si>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</si>
  <si>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</si>
  <si>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</si>
  <si>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</si>
  <si>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</si>
  <si>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</si>
  <si>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</si>
  <si>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</si>
  <si>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</si>
  <si>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</si>
  <si>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</si>
  <si>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</si>
  <si>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</si>
  <si>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</si>
  <si>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</si>
  <si>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</si>
  <si>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</si>
  <si>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</si>
  <si>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</si>
  <si>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</si>
  <si>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</si>
  <si>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</si>
  <si>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</si>
  <si>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</si>
  <si>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</si>
  <si>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</si>
  <si>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</si>
  <si>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</si>
  <si>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</si>
  <si>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</si>
  <si>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</si>
  <si>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</si>
  <si>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</si>
  <si>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</si>
  <si>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</si>
  <si>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</si>
  <si>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</si>
  <si>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</si>
  <si>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</si>
  <si>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</si>
  <si>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</si>
  <si>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</si>
  <si>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</si>
  <si>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</si>
  <si>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</si>
  <si>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</si>
  <si>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</si>
  <si>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</si>
  <si>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</si>
  <si>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</si>
  <si>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</si>
  <si>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</si>
  <si>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</si>
  <si>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</si>
  <si>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</si>
  <si>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</si>
  <si>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</si>
  <si>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</si>
  <si>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</si>
  <si>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</si>
  <si>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</si>
  <si>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</si>
  <si>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</si>
  <si>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</si>
  <si>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</si>
  <si>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</si>
  <si>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</si>
  <si>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</si>
  <si>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</si>
  <si>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</si>
  <si>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</si>
  <si>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</si>
  <si>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</si>
  <si>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</si>
  <si>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</si>
  <si>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</si>
  <si>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</si>
  <si>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</si>
  <si>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</si>
  <si>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</si>
  <si>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</si>
  <si>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</si>
  <si>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</si>
  <si>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</si>
  <si>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</si>
  <si>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</si>
  <si>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</si>
  <si>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</si>
  <si>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</si>
  <si>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</si>
  <si>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</si>
  <si>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</si>
  <si>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</si>
  <si>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</si>
  <si>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</si>
  <si>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</si>
  <si>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</si>
  <si>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</si>
  <si>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</si>
  <si>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</si>
  <si>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</si>
  <si>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</si>
  <si>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</si>
  <si>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</si>
  <si>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</si>
  <si>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</si>
  <si>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</si>
  <si>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</si>
  <si>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</si>
  <si>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</si>
  <si>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</si>
  <si>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</si>
  <si>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</si>
  <si>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</si>
  <si>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</si>
  <si>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</si>
  <si>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</si>
  <si>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</si>
  <si>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</si>
  <si>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</si>
  <si>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</si>
  <si>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</si>
  <si>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</si>
  <si>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</si>
  <si>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</si>
  <si>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</si>
  <si>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</si>
  <si>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</si>
  <si>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</si>
  <si>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</si>
  <si>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</si>
  <si>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</si>
  <si>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</si>
  <si>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</si>
  <si>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</si>
  <si>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</si>
  <si>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</si>
  <si>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</si>
  <si>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</si>
  <si>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</si>
  <si>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</si>
  <si>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</si>
  <si>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</si>
  <si>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</si>
  <si>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</si>
  <si>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</si>
  <si>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</si>
  <si>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</si>
  <si>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</si>
  <si>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</si>
  <si>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</si>
  <si>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</si>
  <si>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Soma de EA Play Season Pass</t>
  </si>
  <si>
    <t>Soma de Minecraft Season Pass Price</t>
  </si>
  <si>
    <t xml:space="preserve">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</si>
</sst>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Fluent Icons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Fill="1" applyBorder="1"/>
    <xf numFmtId="0" fontId="4" fillId="0" borderId="2" xfId="1" applyFont="1" applyBorder="1"/>
    <xf numFmtId="0" fontId="0" fillId="0" borderId="0" xfId="0" applyNumberFormat="1"/>
    <xf numFmtId="44" fontId="0" fillId="0" borderId="0" xfId="2" applyFont="1"/>
    <xf numFmtId="0" fontId="4" fillId="0" borderId="0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30CAE65-3D87-49C7-859E-E1C63BDF7A3A}">
      <tableStyleElement type="wholeTable" dxfId="1"/>
      <tableStyleElement type="headerRow" dxfId="0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Xbox.xlsx]C̳álculos!tbl_vendas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438353370757228E-2"/>
          <c:y val="3.264683832780884E-2"/>
          <c:w val="0.91351867314985991"/>
          <c:h val="0.93470632334438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E-4A68-B34D-4B5DF26C1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119968"/>
        <c:axId val="1807116608"/>
      </c:barChart>
      <c:catAx>
        <c:axId val="180711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7116608"/>
        <c:crosses val="autoZero"/>
        <c:auto val="1"/>
        <c:lblAlgn val="ctr"/>
        <c:lblOffset val="100"/>
        <c:noMultiLvlLbl val="0"/>
      </c:catAx>
      <c:valAx>
        <c:axId val="18071166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071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1838324</xdr:colOff>
      <xdr:row>0</xdr:row>
      <xdr:rowOff>9525</xdr:rowOff>
    </xdr:from>
    <xdr:to>
      <xdr:col>2</xdr:col>
      <xdr:colOff>371475</xdr:colOff>
      <xdr:row>2</xdr:row>
      <xdr:rowOff>171450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692D101-3790-4945-A102-7D150D07F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18390" r="71617" b="20634"/>
        <a:stretch>
          <a:fillRect/>
        </a:stretch>
      </xdr:blipFill>
      <xdr:spPr>
        <a:xfrm>
          <a:off x="1838324" y="9525"/>
          <a:ext cx="628651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234315</xdr:rowOff>
    </xdr:from>
    <xdr:to>
      <xdr:col>0</xdr:col>
      <xdr:colOff>1828800</xdr:colOff>
      <xdr:row>20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35C8DA6D-AACA-41BD-A45C-1D50012053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17295"/>
              <a:ext cx="1828800" cy="2606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104775</xdr:colOff>
      <xdr:row>5</xdr:row>
      <xdr:rowOff>194062</xdr:rowOff>
    </xdr:from>
    <xdr:to>
      <xdr:col>9</xdr:col>
      <xdr:colOff>509588</xdr:colOff>
      <xdr:row>14</xdr:row>
      <xdr:rowOff>68352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6376962-DBAB-1938-72A4-8B3BE6F13385}"/>
            </a:ext>
          </a:extLst>
        </xdr:cNvPr>
        <xdr:cNvGrpSpPr/>
      </xdr:nvGrpSpPr>
      <xdr:grpSpPr>
        <a:xfrm>
          <a:off x="2192655" y="1177042"/>
          <a:ext cx="4672013" cy="1535450"/>
          <a:chOff x="2200275" y="1162050"/>
          <a:chExt cx="4672013" cy="1595914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5511150D-E977-4347-D547-524C5A65DDF3}"/>
              </a:ext>
            </a:extLst>
          </xdr:cNvPr>
          <xdr:cNvSpPr/>
        </xdr:nvSpPr>
        <xdr:spPr>
          <a:xfrm>
            <a:off x="2200275" y="1219706"/>
            <a:ext cx="4672013" cy="1464459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4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56353C6B-888E-E9CF-5FDA-05C215A20E2E}"/>
              </a:ext>
            </a:extLst>
          </xdr:cNvPr>
          <xdr:cNvSpPr/>
        </xdr:nvSpPr>
        <xdr:spPr>
          <a:xfrm>
            <a:off x="3321082" y="1669346"/>
            <a:ext cx="3037406" cy="91326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4FA104F-6E54-4FF3-92D6-8E5FEF797A7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40EE41B9-BA4C-6C2B-6731-B82044132BDB}"/>
              </a:ext>
            </a:extLst>
          </xdr:cNvPr>
          <xdr:cNvSpPr/>
        </xdr:nvSpPr>
        <xdr:spPr>
          <a:xfrm>
            <a:off x="2200275" y="1162050"/>
            <a:ext cx="4672013" cy="4381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oneCell">
    <xdr:from>
      <xdr:col>2</xdr:col>
      <xdr:colOff>238125</xdr:colOff>
      <xdr:row>8</xdr:row>
      <xdr:rowOff>0</xdr:rowOff>
    </xdr:from>
    <xdr:to>
      <xdr:col>4</xdr:col>
      <xdr:colOff>238125</xdr:colOff>
      <xdr:row>14</xdr:row>
      <xdr:rowOff>80010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DB8B97E4-2CFF-4E37-B2A0-AF8C623C4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1543050"/>
          <a:ext cx="1219200" cy="1165860"/>
        </a:xfrm>
        <a:prstGeom prst="rect">
          <a:avLst/>
        </a:prstGeom>
      </xdr:spPr>
    </xdr:pic>
    <xdr:clientData/>
  </xdr:twoCellAnchor>
  <xdr:twoCellAnchor>
    <xdr:from>
      <xdr:col>11</xdr:col>
      <xdr:colOff>159544</xdr:colOff>
      <xdr:row>5</xdr:row>
      <xdr:rowOff>195262</xdr:rowOff>
    </xdr:from>
    <xdr:to>
      <xdr:col>19</xdr:col>
      <xdr:colOff>125730</xdr:colOff>
      <xdr:row>14</xdr:row>
      <xdr:rowOff>67151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C7E78B4E-623F-DEBF-48F5-E03C14F297BB}"/>
            </a:ext>
          </a:extLst>
        </xdr:cNvPr>
        <xdr:cNvGrpSpPr/>
      </xdr:nvGrpSpPr>
      <xdr:grpSpPr>
        <a:xfrm>
          <a:off x="7733824" y="1178242"/>
          <a:ext cx="4682966" cy="1533049"/>
          <a:chOff x="7722394" y="1219200"/>
          <a:chExt cx="4681061" cy="1519714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5FA3ABEF-D213-36F9-8FB0-DA09DE2408F3}"/>
              </a:ext>
            </a:extLst>
          </xdr:cNvPr>
          <xdr:cNvGrpSpPr/>
        </xdr:nvGrpSpPr>
        <xdr:grpSpPr>
          <a:xfrm>
            <a:off x="7722394" y="1219200"/>
            <a:ext cx="4681061" cy="1519714"/>
            <a:chOff x="2095500" y="1143000"/>
            <a:chExt cx="4655344" cy="1571625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059544A5-2313-34E0-A87C-CED3D90E6F4D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3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B23B5129-2DD8-7E58-1528-C3DBF0434F95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E941B2E-B0A4-4C58-8C63-1D3FED75BDF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09C1AAED-35AF-7620-DDA9-09C0BD369832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E1011B85-8EB8-4155-A936-B7EF3CD2A74D}"/>
              </a:ext>
            </a:extLst>
          </xdr:cNvPr>
          <xdr:cNvGrpSpPr/>
        </xdr:nvGrpSpPr>
        <xdr:grpSpPr>
          <a:xfrm>
            <a:off x="7915275" y="1895474"/>
            <a:ext cx="1266825" cy="560071"/>
            <a:chOff x="3495675" y="5400674"/>
            <a:chExt cx="1549476" cy="752476"/>
          </a:xfrm>
        </xdr:grpSpPr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02B1560D-1120-F4C1-6051-4060A43A70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5" name="Gráfico 34">
              <a:extLst>
                <a:ext uri="{FF2B5EF4-FFF2-40B4-BE49-F238E27FC236}">
                  <a16:creationId xmlns:a16="http://schemas.microsoft.com/office/drawing/2014/main" id="{68601F34-E7E8-1C78-4716-B384B6B01E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16</xdr:row>
      <xdr:rowOff>38100</xdr:rowOff>
    </xdr:from>
    <xdr:to>
      <xdr:col>19</xdr:col>
      <xdr:colOff>144780</xdr:colOff>
      <xdr:row>41</xdr:row>
      <xdr:rowOff>166132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48619940-DE2D-C8BB-102C-BBE4D1CD05BE}"/>
            </a:ext>
          </a:extLst>
        </xdr:cNvPr>
        <xdr:cNvGrpSpPr/>
      </xdr:nvGrpSpPr>
      <xdr:grpSpPr>
        <a:xfrm>
          <a:off x="2087880" y="3048000"/>
          <a:ext cx="10347960" cy="4700032"/>
          <a:chOff x="2095500" y="3028950"/>
          <a:chExt cx="10346055" cy="4652407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199869DB-1C62-9530-F026-BEB3C7B7EAAF}"/>
              </a:ext>
            </a:extLst>
          </xdr:cNvPr>
          <xdr:cNvGrpSpPr/>
        </xdr:nvGrpSpPr>
        <xdr:grpSpPr>
          <a:xfrm>
            <a:off x="2095500" y="3028950"/>
            <a:ext cx="10344150" cy="4652407"/>
            <a:chOff x="2486025" y="733425"/>
            <a:chExt cx="5591175" cy="2982496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CE340D8C-D407-1881-33EE-B1AEBB815980}"/>
                </a:ext>
              </a:extLst>
            </xdr:cNvPr>
            <xdr:cNvSpPr/>
          </xdr:nvSpPr>
          <xdr:spPr>
            <a:xfrm>
              <a:off x="2486025" y="733425"/>
              <a:ext cx="5591175" cy="2933700"/>
            </a:xfrm>
            <a:prstGeom prst="roundRect">
              <a:avLst>
                <a:gd name="adj" fmla="val 163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67B6748-8C80-4E24-B440-9B623EED058D}"/>
                </a:ext>
              </a:extLst>
            </xdr:cNvPr>
            <xdr:cNvGraphicFramePr>
              <a:graphicFrameLocks/>
            </xdr:cNvGraphicFramePr>
          </xdr:nvGraphicFramePr>
          <xdr:xfrm>
            <a:off x="2817088" y="972721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2E0C95DF-8500-4062-8113-D7B6AE05486E}"/>
              </a:ext>
            </a:extLst>
          </xdr:cNvPr>
          <xdr:cNvSpPr/>
        </xdr:nvSpPr>
        <xdr:spPr>
          <a:xfrm>
            <a:off x="2095500" y="3038475"/>
            <a:ext cx="10346055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0</xdr:colOff>
      <xdr:row>3</xdr:row>
      <xdr:rowOff>0</xdr:rowOff>
    </xdr:from>
    <xdr:to>
      <xdr:col>9</xdr:col>
      <xdr:colOff>334209</xdr:colOff>
      <xdr:row>4</xdr:row>
      <xdr:rowOff>44615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063F595E-E8CE-493E-83F7-E8A601B14A2E}"/>
            </a:ext>
          </a:extLst>
        </xdr:cNvPr>
        <xdr:cNvSpPr/>
      </xdr:nvSpPr>
      <xdr:spPr>
        <a:xfrm>
          <a:off x="2095500" y="619125"/>
          <a:ext cx="460140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17/01/2025 13:37:00</a:t>
          </a:r>
        </a:p>
      </xdr:txBody>
    </xdr:sp>
    <xdr:clientData/>
  </xdr:twoCellAnchor>
  <xdr:twoCellAnchor editAs="absolute">
    <xdr:from>
      <xdr:col>0</xdr:col>
      <xdr:colOff>590550</xdr:colOff>
      <xdr:row>0</xdr:row>
      <xdr:rowOff>57150</xdr:rowOff>
    </xdr:from>
    <xdr:to>
      <xdr:col>0</xdr:col>
      <xdr:colOff>1285875</xdr:colOff>
      <xdr:row>3</xdr:row>
      <xdr:rowOff>100965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D40D392A-970D-40FA-A79B-874965DEDE94}"/>
            </a:ext>
          </a:extLst>
        </xdr:cNvPr>
        <xdr:cNvSpPr/>
      </xdr:nvSpPr>
      <xdr:spPr>
        <a:xfrm>
          <a:off x="590550" y="571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123825</xdr:colOff>
      <xdr:row>4</xdr:row>
      <xdr:rowOff>38100</xdr:rowOff>
    </xdr:from>
    <xdr:to>
      <xdr:col>0</xdr:col>
      <xdr:colOff>1702254</xdr:colOff>
      <xdr:row>5</xdr:row>
      <xdr:rowOff>73190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2B68CF5D-991C-44C4-93C5-6E18745AD2E6}"/>
            </a:ext>
          </a:extLst>
        </xdr:cNvPr>
        <xdr:cNvSpPr/>
      </xdr:nvSpPr>
      <xdr:spPr>
        <a:xfrm>
          <a:off x="123825" y="828675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kern="1200"/>
            <a:t>&gt; Bem-vindo, João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Nogueira Martins" refreshedDate="46039.411329629627" createdVersion="8" refreshedVersion="8" minRefreshableVersion="3" recordCount="295" xr:uid="{2A311FD9-ED5B-4340-8BE1-5FBD992F179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020228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D1226-BCDC-44D9-8F3A-B2332F688629}" name="tbt_mine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3DB69-88DD-4FCB-A6FB-67BC0223DEE6}" name="tbt_eseason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42C11-B86F-40BC-ACD3-A32550A304B4}" name="tbl_venda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9D1F46E-7553-4437-B5EE-13CFDD8E396D}" sourceName="Subscription Type">
  <pivotTables>
    <pivotTable tabId="3" name="tbl_vendas"/>
    <pivotTable tabId="3" name="tbt_eseason"/>
    <pivotTable tabId="3" name="tbt_mine"/>
  </pivotTables>
  <data>
    <tabular pivotCacheId="140202285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BFBD4DB-7C88-4C07-B227-D06971670BE7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8" sqref="B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E33"/>
  <sheetViews>
    <sheetView showGridLines="0" topLeftCell="A13" workbookViewId="0">
      <selection activeCell="B8" sqref="B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1.88671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7" spans="2:3" x14ac:dyDescent="0.3">
      <c r="B7" s="12" t="s">
        <v>16</v>
      </c>
      <c r="C7" t="s">
        <v>316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3847</v>
      </c>
    </row>
    <row r="11" spans="2:3" x14ac:dyDescent="0.3">
      <c r="B11" s="13" t="s">
        <v>19</v>
      </c>
      <c r="C11" s="14">
        <v>3786</v>
      </c>
    </row>
    <row r="12" spans="2:3" x14ac:dyDescent="0.3">
      <c r="B12" s="13" t="s">
        <v>314</v>
      </c>
      <c r="C12" s="14">
        <v>7633</v>
      </c>
    </row>
    <row r="18" spans="2:5" x14ac:dyDescent="0.3">
      <c r="B18" s="12" t="s">
        <v>16</v>
      </c>
      <c r="C18" t="s">
        <v>316</v>
      </c>
    </row>
    <row r="20" spans="2:5" x14ac:dyDescent="0.3">
      <c r="B20" s="12" t="s">
        <v>313</v>
      </c>
      <c r="C20" t="s">
        <v>317</v>
      </c>
    </row>
    <row r="21" spans="2:5" x14ac:dyDescent="0.3">
      <c r="B21" s="13" t="s">
        <v>22</v>
      </c>
      <c r="C21" s="17">
        <v>0</v>
      </c>
    </row>
    <row r="22" spans="2:5" x14ac:dyDescent="0.3">
      <c r="B22" s="13" t="s">
        <v>26</v>
      </c>
      <c r="C22" s="17">
        <v>0</v>
      </c>
    </row>
    <row r="23" spans="2:5" x14ac:dyDescent="0.3">
      <c r="B23" s="13" t="s">
        <v>18</v>
      </c>
      <c r="C23" s="17">
        <v>2940</v>
      </c>
    </row>
    <row r="24" spans="2:5" x14ac:dyDescent="0.3">
      <c r="B24" s="13" t="s">
        <v>314</v>
      </c>
      <c r="C24" s="17">
        <v>2940</v>
      </c>
      <c r="E24" s="18">
        <f>GETPIVOTDATA("EA Play Season Pass
Price",$B$20)</f>
        <v>2940</v>
      </c>
    </row>
    <row r="27" spans="2:5" x14ac:dyDescent="0.3">
      <c r="B27" s="12" t="s">
        <v>16</v>
      </c>
      <c r="C27" t="s">
        <v>316</v>
      </c>
    </row>
    <row r="29" spans="2:5" x14ac:dyDescent="0.3">
      <c r="B29" s="12" t="s">
        <v>313</v>
      </c>
      <c r="C29" t="s">
        <v>318</v>
      </c>
    </row>
    <row r="30" spans="2:5" x14ac:dyDescent="0.3">
      <c r="B30" s="13" t="s">
        <v>22</v>
      </c>
      <c r="C30" s="14">
        <v>0</v>
      </c>
    </row>
    <row r="31" spans="2:5" x14ac:dyDescent="0.3">
      <c r="B31" s="13" t="s">
        <v>26</v>
      </c>
      <c r="C31" s="14">
        <v>1920</v>
      </c>
    </row>
    <row r="32" spans="2:5" x14ac:dyDescent="0.3">
      <c r="B32" s="13" t="s">
        <v>18</v>
      </c>
      <c r="C32" s="14">
        <v>1960</v>
      </c>
    </row>
    <row r="33" spans="2:5" x14ac:dyDescent="0.3">
      <c r="B33" s="13" t="s">
        <v>314</v>
      </c>
      <c r="C33" s="14">
        <v>3880</v>
      </c>
      <c r="E33" s="18">
        <f>GETPIVOTDATA("Minecraft Season Pass Price",$B$29)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151"/>
  <sheetViews>
    <sheetView showGridLines="0" showRowColHeaders="0" tabSelected="1" zoomScaleNormal="100" workbookViewId="0">
      <selection activeCell="U6" sqref="U6"/>
    </sheetView>
  </sheetViews>
  <sheetFormatPr defaultRowHeight="14.4" x14ac:dyDescent="0.3"/>
  <cols>
    <col min="1" max="1" width="26.88671875" style="4" customWidth="1"/>
    <col min="2" max="2" width="3.5546875" customWidth="1"/>
    <col min="12" max="12" width="6.5546875" customWidth="1"/>
  </cols>
  <sheetData>
    <row r="2" spans="1:20" ht="20.399999999999999" customHeight="1" thickBot="1" x14ac:dyDescent="0.35">
      <c r="C2" s="15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9"/>
    </row>
    <row r="3" spans="1:20" ht="14.4" customHeight="1" thickTop="1" x14ac:dyDescent="0.3"/>
    <row r="4" spans="1:20" s="7" customFormat="1" ht="13.2" customHeight="1" x14ac:dyDescent="0.3">
      <c r="A4" s="4"/>
    </row>
    <row r="5" spans="1:20" s="7" customFormat="1" ht="15" customHeight="1" x14ac:dyDescent="0.3">
      <c r="A5" s="4"/>
    </row>
    <row r="6" spans="1:20" s="7" customFormat="1" ht="18.600000000000001" customHeight="1" x14ac:dyDescent="0.3">
      <c r="A6" s="4"/>
    </row>
    <row r="7" spans="1:20" s="7" customFormat="1" ht="13.8" customHeight="1" x14ac:dyDescent="0.3">
      <c r="A7" s="4"/>
    </row>
    <row r="8" spans="1:20" s="7" customFormat="1" ht="12" customHeight="1" x14ac:dyDescent="0.3">
      <c r="A8" s="4"/>
    </row>
    <row r="9" spans="1:20" s="7" customFormat="1" x14ac:dyDescent="0.3">
      <c r="A9" s="4"/>
    </row>
    <row r="10" spans="1:20" s="7" customFormat="1" x14ac:dyDescent="0.3">
      <c r="A10" s="4"/>
    </row>
    <row r="11" spans="1:20" s="7" customFormat="1" x14ac:dyDescent="0.3">
      <c r="A11" s="4"/>
    </row>
    <row r="12" spans="1:20" s="7" customFormat="1" x14ac:dyDescent="0.3">
      <c r="A12" s="4"/>
    </row>
    <row r="13" spans="1:20" s="7" customFormat="1" x14ac:dyDescent="0.3">
      <c r="A13" s="4"/>
    </row>
    <row r="14" spans="1:20" s="7" customFormat="1" x14ac:dyDescent="0.3">
      <c r="A14" s="4"/>
    </row>
    <row r="15" spans="1:20" s="7" customFormat="1" x14ac:dyDescent="0.3">
      <c r="A15" s="4"/>
    </row>
    <row r="16" spans="1:20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Eduardo Nogueira Martins</cp:lastModifiedBy>
  <dcterms:created xsi:type="dcterms:W3CDTF">2024-12-19T13:13:10Z</dcterms:created>
  <dcterms:modified xsi:type="dcterms:W3CDTF">2026-01-17T16:45:41Z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